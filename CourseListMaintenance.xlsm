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/>
  </bookViews>
  <sheets>
    <sheet name="Sheet1" sheetId="1" r:id="rId1"/>
    <sheet name="Sheet2" sheetId="2" r:id="rId2"/>
    <sheet name="Sheet3" sheetId="3" r:id="rId3"/>
  </sheets>
  <definedNames>
    <definedName name="_GoBack" localSheetId="0">Sheet1!$C$22</definedName>
  </definedNames>
  <calcPr calcId="125725"/>
</workbook>
</file>

<file path=xl/calcChain.xml><?xml version="1.0" encoding="utf-8"?>
<calcChain xmlns="http://schemas.openxmlformats.org/spreadsheetml/2006/main">
  <c r="H22" i="1"/>
  <c r="I22"/>
  <c r="H15"/>
  <c r="H14"/>
  <c r="H13"/>
  <c r="H12"/>
  <c r="H11"/>
  <c r="H25"/>
  <c r="H10"/>
  <c r="H9"/>
  <c r="H8"/>
  <c r="H23"/>
  <c r="H7"/>
  <c r="H6"/>
  <c r="H5"/>
  <c r="H24"/>
  <c r="H4"/>
  <c r="H1"/>
  <c r="I25"/>
  <c r="I23"/>
  <c r="I24"/>
  <c r="I14"/>
  <c r="I13"/>
  <c r="I12"/>
  <c r="I11"/>
  <c r="I10"/>
  <c r="I9"/>
  <c r="I8"/>
  <c r="I7"/>
  <c r="I6"/>
  <c r="I5"/>
  <c r="I4"/>
</calcChain>
</file>

<file path=xl/sharedStrings.xml><?xml version="1.0" encoding="utf-8"?>
<sst xmlns="http://schemas.openxmlformats.org/spreadsheetml/2006/main" count="63" uniqueCount="38">
  <si>
    <t>Deep Sky Imaging</t>
  </si>
  <si>
    <t>Dave Eagle</t>
  </si>
  <si>
    <t>Remote Access Telescopes for Public &amp; Education</t>
  </si>
  <si>
    <t xml:space="preserve">Pete Williamson </t>
  </si>
  <si>
    <t>Introduction to Astrophotography</t>
  </si>
  <si>
    <t xml:space="preserve">Mary McIntyre </t>
  </si>
  <si>
    <t>Astrophotography Photoshop Essentials</t>
  </si>
  <si>
    <t>High Resolution Planetary Imaging</t>
  </si>
  <si>
    <t xml:space="preserve">Damian Peach </t>
  </si>
  <si>
    <t>Spectroscopy: Everyone Can Learn the Secrets of Starlight</t>
  </si>
  <si>
    <t xml:space="preserve">Hugh Allen </t>
  </si>
  <si>
    <t>Pixinsight Masterclass</t>
  </si>
  <si>
    <t xml:space="preserve">Paddy Gilliland </t>
  </si>
  <si>
    <t>Solar Imaging in White Light, H-alpha &amp; Calcium K</t>
  </si>
  <si>
    <t>Pete Williamson</t>
  </si>
  <si>
    <t>High Resolution Lunar Imaging</t>
  </si>
  <si>
    <t>Learn the Night Sky: Autumn</t>
  </si>
  <si>
    <t xml:space="preserve">Learn the Night Sky: Winter </t>
  </si>
  <si>
    <t xml:space="preserve">Learn the Night Sky: Spring </t>
  </si>
  <si>
    <t xml:space="preserve">Learn the Night Sky: Summer </t>
  </si>
  <si>
    <t xml:space="preserve">Introduction to Astrophotography </t>
  </si>
  <si>
    <t>Mary McIntyre</t>
  </si>
  <si>
    <t>Improve Your Astrophotography</t>
  </si>
  <si>
    <t>Title</t>
  </si>
  <si>
    <t>Presenter</t>
  </si>
  <si>
    <t>Date</t>
  </si>
  <si>
    <t>Price</t>
  </si>
  <si>
    <t>Difficulty</t>
  </si>
  <si>
    <t>Time</t>
  </si>
  <si>
    <t>10am-4.30pm</t>
  </si>
  <si>
    <t>10am-12.30pm</t>
  </si>
  <si>
    <t>Past Courses</t>
  </si>
  <si>
    <t>Child</t>
  </si>
  <si>
    <t>Photoshop Essentials</t>
  </si>
  <si>
    <t>Solar imaging</t>
  </si>
  <si>
    <t>Astrophotography Masterclass</t>
  </si>
  <si>
    <t>CourseLink</t>
  </si>
  <si>
    <t>Bio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</si>
</sst>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/>
    <xf numFmtId="15" fontId="2" fillId="0" borderId="0" xfId="0" applyNumberFormat="1" applyFont="1" applyAlignment="1"/>
    <xf numFmtId="0" fontId="3" fillId="0" borderId="0" xfId="0" applyFont="1"/>
    <xf numFmtId="0" fontId="2" fillId="0" borderId="0" xfId="0" applyFont="1"/>
    <xf numFmtId="15" fontId="2" fillId="0" borderId="0" xfId="0" applyNumberFormat="1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5"/>
  <sheetViews>
    <sheetView tabSelected="1" workbookViewId="0">
      <selection activeCell="A11" sqref="A11"/>
    </sheetView>
  </sheetViews>
  <sheetFormatPr defaultRowHeight="15"/>
  <cols>
    <col min="1" max="1" width="51.140625" bestFit="1" customWidth="1"/>
    <col min="2" max="2" width="15.28515625" bestFit="1" customWidth="1"/>
    <col min="3" max="3" width="9.7109375" bestFit="1" customWidth="1"/>
    <col min="4" max="4" width="13.42578125" bestFit="1" customWidth="1"/>
    <col min="5" max="5" width="5.28515625" bestFit="1" customWidth="1"/>
    <col min="6" max="6" width="5.28515625" customWidth="1"/>
    <col min="7" max="7" width="8" bestFit="1" customWidth="1"/>
    <col min="8" max="8" width="32.140625" bestFit="1" customWidth="1"/>
    <col min="9" max="9" width="15" bestFit="1" customWidth="1"/>
  </cols>
  <sheetData>
    <row r="1" spans="1:9">
      <c r="H1" t="str">
        <f>IF(LEFT(A1,15)="Learn the Night","learnthenightsky",SUBSTITUTE(SUBSTITUTE(LOWER(SUBSTITUTE(LEFT(A1,30)," ","_")),":",""),",",""))</f>
        <v/>
      </c>
    </row>
    <row r="3" spans="1:9">
      <c r="A3" s="1" t="s">
        <v>23</v>
      </c>
      <c r="B3" s="1" t="s">
        <v>24</v>
      </c>
      <c r="C3" s="1" t="s">
        <v>25</v>
      </c>
      <c r="D3" s="1" t="s">
        <v>28</v>
      </c>
      <c r="E3" s="1" t="s">
        <v>26</v>
      </c>
      <c r="F3" s="1" t="s">
        <v>32</v>
      </c>
      <c r="G3" s="1" t="s">
        <v>27</v>
      </c>
      <c r="H3" s="1" t="s">
        <v>36</v>
      </c>
      <c r="I3" s="1" t="s">
        <v>37</v>
      </c>
    </row>
    <row r="4" spans="1:9">
      <c r="A4" s="2" t="s">
        <v>0</v>
      </c>
      <c r="B4" s="2" t="s">
        <v>1</v>
      </c>
      <c r="C4" s="3">
        <v>43421</v>
      </c>
      <c r="D4" s="3" t="s">
        <v>29</v>
      </c>
      <c r="E4" s="4">
        <v>35</v>
      </c>
      <c r="F4" s="4">
        <v>0</v>
      </c>
      <c r="G4" s="4">
        <v>2</v>
      </c>
      <c r="H4" t="str">
        <f t="shared" ref="H4:H15" si="0">IF(LEFT(A4,15)="Learn the Night","learn_the_night_sky",SUBSTITUTE(SUBSTITUTE(LOWER(SUBSTITUTE(LEFT(A4,30)," ","_")),":",""),",","_"))</f>
        <v>deep_sky_imaging</v>
      </c>
      <c r="I4" t="str">
        <f t="shared" ref="I4:I14" si="1">LOWER(SUBSTITUTE(B4," ",""))</f>
        <v>daveeagle</v>
      </c>
    </row>
    <row r="5" spans="1:9">
      <c r="A5" s="2" t="s">
        <v>2</v>
      </c>
      <c r="B5" s="2" t="s">
        <v>3</v>
      </c>
      <c r="C5" s="3">
        <v>43449</v>
      </c>
      <c r="D5" s="3" t="s">
        <v>29</v>
      </c>
      <c r="E5" s="4">
        <v>35</v>
      </c>
      <c r="F5" s="4">
        <v>0</v>
      </c>
      <c r="G5" s="4">
        <v>1</v>
      </c>
      <c r="H5" t="str">
        <f t="shared" si="0"/>
        <v>remote_access_telescopes_for_p</v>
      </c>
      <c r="I5" t="str">
        <f t="shared" si="1"/>
        <v>petewilliamson</v>
      </c>
    </row>
    <row r="6" spans="1:9">
      <c r="A6" s="2" t="s">
        <v>4</v>
      </c>
      <c r="B6" s="2" t="s">
        <v>5</v>
      </c>
      <c r="C6" s="3">
        <v>43484</v>
      </c>
      <c r="D6" s="3" t="s">
        <v>30</v>
      </c>
      <c r="E6" s="4">
        <v>15</v>
      </c>
      <c r="F6" s="4">
        <v>0</v>
      </c>
      <c r="G6" s="4">
        <v>1</v>
      </c>
      <c r="H6" t="str">
        <f t="shared" si="0"/>
        <v>introduction_to_astrophotograp</v>
      </c>
      <c r="I6" t="str">
        <f t="shared" si="1"/>
        <v>marymcintyre</v>
      </c>
    </row>
    <row r="7" spans="1:9">
      <c r="A7" s="2" t="s">
        <v>6</v>
      </c>
      <c r="B7" s="2" t="s">
        <v>1</v>
      </c>
      <c r="C7" s="3">
        <v>43512</v>
      </c>
      <c r="D7" s="3" t="s">
        <v>29</v>
      </c>
      <c r="E7" s="4">
        <v>35</v>
      </c>
      <c r="F7" s="4">
        <v>0</v>
      </c>
      <c r="G7" s="4">
        <v>2</v>
      </c>
      <c r="H7" t="str">
        <f t="shared" si="0"/>
        <v>astrophotography_photoshop_ess</v>
      </c>
      <c r="I7" t="str">
        <f t="shared" si="1"/>
        <v>daveeagle</v>
      </c>
    </row>
    <row r="8" spans="1:9">
      <c r="A8" s="2" t="s">
        <v>7</v>
      </c>
      <c r="B8" s="2" t="s">
        <v>8</v>
      </c>
      <c r="C8" s="3">
        <v>43540</v>
      </c>
      <c r="D8" s="3" t="s">
        <v>29</v>
      </c>
      <c r="E8" s="4">
        <v>35</v>
      </c>
      <c r="F8" s="4">
        <v>0</v>
      </c>
      <c r="G8" s="4">
        <v>2</v>
      </c>
      <c r="H8" t="str">
        <f t="shared" si="0"/>
        <v>high_resolution_planetary_imag</v>
      </c>
      <c r="I8" t="str">
        <f t="shared" si="1"/>
        <v>damianpeach</v>
      </c>
    </row>
    <row r="9" spans="1:9">
      <c r="A9" s="2" t="s">
        <v>9</v>
      </c>
      <c r="B9" s="2" t="s">
        <v>10</v>
      </c>
      <c r="C9" s="3">
        <v>43575</v>
      </c>
      <c r="D9" s="3" t="s">
        <v>29</v>
      </c>
      <c r="E9" s="4">
        <v>35</v>
      </c>
      <c r="F9" s="4">
        <v>0</v>
      </c>
      <c r="G9" s="4">
        <v>2</v>
      </c>
      <c r="H9" t="str">
        <f t="shared" si="0"/>
        <v>spectroscopy_everyone_can_lea</v>
      </c>
      <c r="I9" t="str">
        <f t="shared" si="1"/>
        <v>hughallen</v>
      </c>
    </row>
    <row r="10" spans="1:9">
      <c r="A10" s="5" t="s">
        <v>11</v>
      </c>
      <c r="B10" s="5" t="s">
        <v>12</v>
      </c>
      <c r="C10" s="6">
        <v>43603</v>
      </c>
      <c r="D10" s="3" t="s">
        <v>29</v>
      </c>
      <c r="E10" s="4">
        <v>35</v>
      </c>
      <c r="F10" s="4">
        <v>0</v>
      </c>
      <c r="G10" s="4">
        <v>3</v>
      </c>
      <c r="H10" t="str">
        <f t="shared" si="0"/>
        <v>pixinsight_masterclass</v>
      </c>
      <c r="I10" t="str">
        <f t="shared" si="1"/>
        <v>paddygilliland</v>
      </c>
    </row>
    <row r="11" spans="1:9">
      <c r="A11" s="5" t="s">
        <v>22</v>
      </c>
      <c r="B11" s="5" t="s">
        <v>21</v>
      </c>
      <c r="C11" s="6">
        <v>43631</v>
      </c>
      <c r="D11" s="3" t="s">
        <v>30</v>
      </c>
      <c r="E11" s="4">
        <v>15</v>
      </c>
      <c r="F11" s="4">
        <v>0</v>
      </c>
      <c r="G11" s="4">
        <v>2</v>
      </c>
      <c r="H11" t="str">
        <f t="shared" si="0"/>
        <v>improve_your_astrophotography</v>
      </c>
      <c r="I11" t="str">
        <f t="shared" si="1"/>
        <v>marymcintyre</v>
      </c>
    </row>
    <row r="12" spans="1:9">
      <c r="A12" s="5" t="s">
        <v>13</v>
      </c>
      <c r="B12" s="5" t="s">
        <v>14</v>
      </c>
      <c r="C12" s="6">
        <v>43666</v>
      </c>
      <c r="D12" s="3" t="s">
        <v>29</v>
      </c>
      <c r="E12" s="4">
        <v>35</v>
      </c>
      <c r="F12" s="4">
        <v>0</v>
      </c>
      <c r="G12" s="4">
        <v>1</v>
      </c>
      <c r="H12" t="str">
        <f t="shared" si="0"/>
        <v>solar_imaging_in_white_light__</v>
      </c>
      <c r="I12" t="str">
        <f t="shared" si="1"/>
        <v>petewilliamson</v>
      </c>
    </row>
    <row r="13" spans="1:9">
      <c r="A13" s="5" t="s">
        <v>15</v>
      </c>
      <c r="B13" s="5" t="s">
        <v>8</v>
      </c>
      <c r="C13" s="6">
        <v>43694</v>
      </c>
      <c r="D13" s="3" t="s">
        <v>29</v>
      </c>
      <c r="E13" s="4">
        <v>35</v>
      </c>
      <c r="F13" s="4">
        <v>0</v>
      </c>
      <c r="G13" s="4">
        <v>3</v>
      </c>
      <c r="H13" t="str">
        <f t="shared" si="0"/>
        <v>high_resolution_lunar_imaging</v>
      </c>
      <c r="I13" t="str">
        <f t="shared" si="1"/>
        <v>damianpeach</v>
      </c>
    </row>
    <row r="14" spans="1:9">
      <c r="A14" s="5" t="s">
        <v>20</v>
      </c>
      <c r="B14" s="5" t="s">
        <v>21</v>
      </c>
      <c r="C14" s="6">
        <v>43729</v>
      </c>
      <c r="D14" s="3" t="s">
        <v>30</v>
      </c>
      <c r="E14" s="4">
        <v>15</v>
      </c>
      <c r="F14" s="4">
        <v>0</v>
      </c>
      <c r="G14" s="4">
        <v>1</v>
      </c>
      <c r="H14" t="str">
        <f t="shared" si="0"/>
        <v>introduction_to_astrophotograp</v>
      </c>
      <c r="I14" t="str">
        <f t="shared" si="1"/>
        <v>marymcintyre</v>
      </c>
    </row>
    <row r="15" spans="1:9">
      <c r="H15" t="str">
        <f t="shared" si="0"/>
        <v/>
      </c>
    </row>
    <row r="17" spans="1:9">
      <c r="A17" s="7" t="s">
        <v>31</v>
      </c>
    </row>
    <row r="18" spans="1:9">
      <c r="A18" s="5" t="s">
        <v>33</v>
      </c>
      <c r="B18" t="s">
        <v>1</v>
      </c>
    </row>
    <row r="19" spans="1:9">
      <c r="A19" s="5" t="s">
        <v>34</v>
      </c>
      <c r="B19" t="s">
        <v>14</v>
      </c>
    </row>
    <row r="20" spans="1:9">
      <c r="A20" s="5" t="s">
        <v>19</v>
      </c>
      <c r="B20" t="s">
        <v>21</v>
      </c>
    </row>
    <row r="21" spans="1:9">
      <c r="A21" s="5" t="s">
        <v>35</v>
      </c>
      <c r="B21" s="5" t="s">
        <v>12</v>
      </c>
    </row>
    <row r="22" spans="1:9">
      <c r="A22" s="5" t="s">
        <v>16</v>
      </c>
      <c r="B22" s="5" t="s">
        <v>5</v>
      </c>
      <c r="C22" s="6">
        <v>43351</v>
      </c>
      <c r="D22" s="3" t="s">
        <v>30</v>
      </c>
      <c r="E22" s="4">
        <v>12</v>
      </c>
      <c r="F22" s="4">
        <v>6</v>
      </c>
      <c r="G22" s="4">
        <v>1</v>
      </c>
      <c r="H22" t="str">
        <f>IF(LEFT(A22,15)="Learn the Night","learn_the_night_sky",SUBSTITUTE(SUBSTITUTE(LOWER(SUBSTITUTE(LEFT(A22,30)," ","_")),":",""),",","_"))</f>
        <v>learn_the_night_sky</v>
      </c>
      <c r="I22" t="str">
        <f>LOWER(SUBSTITUTE(B22," ",""))</f>
        <v>marymcintyre</v>
      </c>
    </row>
    <row r="23" spans="1:9">
      <c r="A23" s="5" t="s">
        <v>18</v>
      </c>
      <c r="B23" s="5" t="s">
        <v>5</v>
      </c>
      <c r="C23" s="6">
        <v>43526</v>
      </c>
      <c r="D23" s="3" t="s">
        <v>30</v>
      </c>
      <c r="E23" s="4">
        <v>12</v>
      </c>
      <c r="F23" s="4">
        <v>6</v>
      </c>
      <c r="G23" s="4">
        <v>1</v>
      </c>
      <c r="H23" t="str">
        <f>IF(LEFT(A23,15)="Learn the Night","learn_the_night_sky",SUBSTITUTE(SUBSTITUTE(LOWER(SUBSTITUTE(LEFT(A23,30)," ","_")),":",""),",","_"))</f>
        <v>learn_the_night_sky</v>
      </c>
      <c r="I23" t="str">
        <f>LOWER(SUBSTITUTE(B23," ",""))</f>
        <v>marymcintyre</v>
      </c>
    </row>
    <row r="24" spans="1:9">
      <c r="A24" s="5" t="s">
        <v>17</v>
      </c>
      <c r="B24" s="5" t="s">
        <v>5</v>
      </c>
      <c r="C24" s="6">
        <v>43435</v>
      </c>
      <c r="D24" s="3" t="s">
        <v>30</v>
      </c>
      <c r="E24" s="4">
        <v>12</v>
      </c>
      <c r="F24" s="4">
        <v>6</v>
      </c>
      <c r="G24" s="4">
        <v>1</v>
      </c>
      <c r="H24" t="str">
        <f>IF(LEFT(A24,15)="Learn the Night","learn_the_night_sky",SUBSTITUTE(SUBSTITUTE(LOWER(SUBSTITUTE(LEFT(A24,30)," ","_")),":",""),",","_"))</f>
        <v>learn_the_night_sky</v>
      </c>
      <c r="I24" t="str">
        <f>LOWER(SUBSTITUTE(B24," ",""))</f>
        <v>marymcintyre</v>
      </c>
    </row>
    <row r="25" spans="1:9">
      <c r="A25" s="5" t="s">
        <v>19</v>
      </c>
      <c r="B25" s="5" t="s">
        <v>5</v>
      </c>
      <c r="C25" s="6">
        <v>43617</v>
      </c>
      <c r="D25" s="3" t="s">
        <v>30</v>
      </c>
      <c r="E25" s="4">
        <v>12</v>
      </c>
      <c r="F25" s="4">
        <v>6</v>
      </c>
      <c r="G25" s="4">
        <v>1</v>
      </c>
      <c r="H25" t="str">
        <f>IF(LEFT(A25,15)="Learn the Night","learn_the_night_sky",SUBSTITUTE(SUBSTITUTE(LOWER(SUBSTITUTE(LEFT(A25,30)," ","_")),":",""),",","_"))</f>
        <v>learn_the_night_sky</v>
      </c>
      <c r="I25" t="str">
        <f>LOWER(SUBSTITUTE(B25," ",""))</f>
        <v>marymcintyre</v>
      </c>
    </row>
  </sheetData>
  <sortState ref="A4:I18">
    <sortCondition ref="C4:C18"/>
  </sortState>
  <pageMargins left="0.7" right="0.7" top="0.75" bottom="0.75" header="0.3" footer="0.3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Sheet1!_GoBack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2018-08-31T22:44:08Z</dcterms:created>
  <dcterms:modified xsi:type="dcterms:W3CDTF">2018-09-09T22:39:27Z</dcterms:modified>
</cp:coreProperties>
</file>